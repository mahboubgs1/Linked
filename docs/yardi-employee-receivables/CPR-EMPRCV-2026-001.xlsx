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١. بيانات الطلب" sheetId="1" state="visible" r:id="rId1"/>
    <sheet name="٢. المبرر والعائد" sheetId="2" state="visible" r:id="rId2"/>
    <sheet name="٣. النطاق" sheetId="3" state="visible" r:id="rId3"/>
    <sheet name="٤. المتطلبات المسبقة" sheetId="4" state="visible" r:id="rId4"/>
    <sheet name="٥. المخرجات" sheetId="5" state="visible" r:id="rId5"/>
    <sheet name="٦. الجهد والجدول" sheetId="6" state="visible" r:id="rId6"/>
    <sheet name="٧. البدائل" sheetId="7" state="visible" r:id="rId7"/>
    <sheet name="٨. تقييم الأثر" sheetId="8" state="visible" r:id="rId8"/>
    <sheet name="٩. المخاطر" sheetId="9" state="visible" r:id="rId9"/>
    <sheet name="١٠. معايير القبول" sheetId="10" state="visible" r:id="rId10"/>
    <sheet name="١١. الاعتمادات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2">
    <font>
      <name val="Calibri"/>
      <family val="2"/>
      <color theme="1"/>
      <sz val="11"/>
      <scheme val="minor"/>
    </font>
    <font>
      <name val="Arial"/>
      <b val="1"/>
      <color rgb="000F5C4D"/>
      <sz val="15"/>
    </font>
    <font>
      <name val="Arial"/>
      <color rgb="004A5A66"/>
      <sz val="9"/>
    </font>
    <font>
      <name val="Arial"/>
      <b val="1"/>
      <color rgb="008A5A09"/>
      <sz val="9"/>
    </font>
    <font>
      <name val="Arial"/>
      <b val="1"/>
      <color rgb="00FFFFFF"/>
      <sz val="10"/>
    </font>
    <font>
      <name val="Arial"/>
      <b val="1"/>
      <color rgb="00121A20"/>
      <sz val="10"/>
    </font>
    <font>
      <name val="Arial"/>
      <color rgb="00121A20"/>
      <sz val="10"/>
    </font>
    <font>
      <name val="Arial"/>
      <b val="1"/>
      <color rgb="001C6B45"/>
      <sz val="10"/>
    </font>
    <font>
      <name val="Arial"/>
      <b val="1"/>
      <color rgb="000F5C4D"/>
      <sz val="12"/>
    </font>
    <font>
      <name val="Arial"/>
      <b val="1"/>
      <color rgb="009C2F2A"/>
      <sz val="10"/>
    </font>
    <font>
      <name val="Arial"/>
      <b val="1"/>
      <color rgb="000F5C4D"/>
      <sz val="10"/>
    </font>
    <font>
      <name val="Arial"/>
      <b val="1"/>
      <color rgb="000F5C4D"/>
      <sz val="11"/>
    </font>
  </fonts>
  <fills count="9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0F5C4D"/>
      </patternFill>
    </fill>
    <fill>
      <patternFill patternType="solid">
        <fgColor rgb="00E0F0E6"/>
      </patternFill>
    </fill>
    <fill>
      <patternFill patternType="solid">
        <fgColor rgb="00F8E5E3"/>
      </patternFill>
    </fill>
    <fill>
      <patternFill patternType="solid">
        <fgColor rgb="00E2EFE9"/>
      </patternFill>
    </fill>
    <fill>
      <patternFill patternType="solid">
        <fgColor rgb="00F2F5F7"/>
      </patternFill>
    </fill>
    <fill>
      <patternFill patternType="solid">
        <fgColor rgb="00F7ECD7"/>
      </patternFill>
    </fill>
  </fills>
  <borders count="2">
    <border>
      <left/>
      <right/>
      <top/>
      <bottom/>
      <diagonal/>
    </border>
    <border>
      <left style="thin">
        <color rgb="00D7DFE4"/>
      </left>
      <right style="thin">
        <color rgb="00D7DFE4"/>
      </right>
      <top style="thin">
        <color rgb="00D7DFE4"/>
      </top>
      <bottom style="thin">
        <color rgb="00D7DFE4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 readingOrder="2"/>
    </xf>
    <xf numFmtId="0" fontId="2" fillId="0" borderId="0" applyAlignment="1" pivotButton="0" quotePrefix="0" xfId="0">
      <alignment horizontal="right" vertical="center" wrapText="1" readingOrder="2"/>
    </xf>
    <xf numFmtId="0" fontId="3" fillId="2" borderId="1" applyAlignment="1" pivotButton="0" quotePrefix="0" xfId="0">
      <alignment horizontal="right" vertical="center" wrapText="1" readingOrder="2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top" wrapText="1" readingOrder="2"/>
    </xf>
    <xf numFmtId="0" fontId="6" fillId="0" borderId="1" applyAlignment="1" pivotButton="0" quotePrefix="0" xfId="0">
      <alignment horizontal="right" vertical="top" wrapText="1" readingOrder="2"/>
    </xf>
    <xf numFmtId="0" fontId="6" fillId="2" borderId="1" applyAlignment="1" pivotButton="0" quotePrefix="0" xfId="0">
      <alignment horizontal="right" vertical="top" wrapText="1" readingOrder="2"/>
    </xf>
    <xf numFmtId="0" fontId="7" fillId="4" borderId="1" applyAlignment="1" pivotButton="0" quotePrefix="0" xfId="0">
      <alignment horizontal="right" vertical="center" wrapText="1" readingOrder="2"/>
    </xf>
    <xf numFmtId="0" fontId="8" fillId="0" borderId="0" pivotButton="0" quotePrefix="0" xfId="0"/>
    <xf numFmtId="0" fontId="6" fillId="4" borderId="1" applyAlignment="1" pivotButton="0" quotePrefix="0" xfId="0">
      <alignment horizontal="right" vertical="top" wrapText="1" readingOrder="2"/>
    </xf>
    <xf numFmtId="0" fontId="6" fillId="5" borderId="1" applyAlignment="1" pivotButton="0" quotePrefix="0" xfId="0">
      <alignment horizontal="right" vertical="top" wrapText="1" readingOrder="2"/>
    </xf>
    <xf numFmtId="0" fontId="9" fillId="5" borderId="1" applyAlignment="1" pivotButton="0" quotePrefix="0" xfId="0">
      <alignment horizontal="right" vertical="center" wrapText="1" readingOrder="2"/>
    </xf>
    <xf numFmtId="0" fontId="6" fillId="2" borderId="1" applyAlignment="1" pivotButton="0" quotePrefix="0" xfId="0">
      <alignment horizontal="center" vertical="center" wrapText="1"/>
    </xf>
    <xf numFmtId="164" fontId="6" fillId="2" borderId="1" applyAlignment="1" pivotButton="0" quotePrefix="0" xfId="0">
      <alignment horizontal="right" vertical="top" wrapText="1" readingOrder="2"/>
    </xf>
    <xf numFmtId="0" fontId="5" fillId="0" borderId="1" applyAlignment="1" pivotButton="0" quotePrefix="0" xfId="0">
      <alignment horizontal="right" vertical="center" wrapText="1" readingOrder="2"/>
    </xf>
    <xf numFmtId="0" fontId="6" fillId="0" borderId="1" applyAlignment="1" pivotButton="0" quotePrefix="0" xfId="0">
      <alignment horizontal="center" vertical="center" wrapText="1"/>
    </xf>
    <xf numFmtId="9" fontId="10" fillId="6" borderId="1" applyAlignment="1" pivotButton="0" quotePrefix="0" xfId="0">
      <alignment horizontal="center" vertical="center" wrapText="1"/>
    </xf>
    <xf numFmtId="0" fontId="2" fillId="0" borderId="0" pivotButton="0" quotePrefix="0" xfId="0"/>
    <xf numFmtId="1" fontId="6" fillId="0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right" vertical="center" wrapText="1" readingOrder="2"/>
    </xf>
    <xf numFmtId="1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right" vertical="center" wrapText="1" readingOrder="2"/>
    </xf>
    <xf numFmtId="4" fontId="0" fillId="2" borderId="1" applyAlignment="1" pivotButton="0" quotePrefix="0" xfId="0">
      <alignment horizontal="center" vertical="center" wrapText="1"/>
    </xf>
    <xf numFmtId="4" fontId="1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right" vertical="center" wrapText="1" readingOrder="2"/>
    </xf>
    <xf numFmtId="0" fontId="6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CPR</author>
  </authors>
  <commentList>
    <comment ref="B20" authorId="0" shapeId="0">
      <text>
        <t>يُملأ من العقد الساري مع Yardi أو الجهة المنفّذة. لم يُقدَّر هنا لأنه قرار تعاقدي.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6" customWidth="1" min="3" max="3"/>
  </cols>
  <sheetData>
    <row r="1" ht="26" customHeight="1">
      <c r="A1" s="1" t="inlineStr">
        <is>
          <t>طلب برمجة مخصصة — Custom Programming Request</t>
        </is>
      </c>
    </row>
    <row r="2" ht="16" customHeight="1">
      <c r="A2" s="2" t="inlineStr">
        <is>
          <t>حزمة تقارير مديونية الموظفين (EMPRCV) · Yardi Voyager · General Ledger</t>
        </is>
      </c>
    </row>
    <row r="4" ht="30" customHeight="1">
      <c r="A4" s="3" t="inlineStr">
        <is>
          <t>دليل التعبئة: الخلايا ذات الخلفية الصفراء تُملأ من بيانات المنشأة قبل رفع الطلب. باقي الخلايا مكتملة من وثائق التصميم المرفقة.</t>
        </is>
      </c>
    </row>
    <row r="6" ht="30" customHeight="1">
      <c r="A6" s="4" t="inlineStr">
        <is>
          <t>الحقل</t>
        </is>
      </c>
      <c r="B6" s="4" t="inlineStr">
        <is>
          <t>القيمة</t>
        </is>
      </c>
      <c r="C6" s="4" t="inlineStr">
        <is>
          <t>ملاحظات</t>
        </is>
      </c>
    </row>
    <row r="7">
      <c r="A7" s="5" t="inlineStr">
        <is>
          <t>رقم الطلب</t>
        </is>
      </c>
      <c r="B7" s="6" t="inlineStr">
        <is>
          <t>CPR-EMPRCV-2026-001</t>
        </is>
      </c>
      <c r="C7" s="6" t="inlineStr">
        <is>
          <t>يُرقّم وفق نظام ترقيم طلبات التغيير لديكم</t>
        </is>
      </c>
    </row>
    <row r="8">
      <c r="A8" s="5" t="inlineStr">
        <is>
          <t>العنوان</t>
        </is>
      </c>
      <c r="B8" s="6" t="inlineStr">
        <is>
          <t>حزمة تقارير مديونية الموظفين ونماذج اعتماد الأرصدة</t>
        </is>
      </c>
      <c r="C8" s="6" t="inlineStr"/>
    </row>
    <row r="9">
      <c r="A9" s="5" t="inlineStr">
        <is>
          <t>النظام</t>
        </is>
      </c>
      <c r="B9" s="6" t="inlineStr">
        <is>
          <t>Yardi Voyager</t>
        </is>
      </c>
      <c r="C9" s="6" t="inlineStr"/>
    </row>
    <row r="10">
      <c r="A10" s="5" t="inlineStr">
        <is>
          <t>الإصدار / قاعدة البيانات</t>
        </is>
      </c>
      <c r="B10" s="7" t="inlineStr"/>
      <c r="C10" s="6" t="inlineStr">
        <is>
          <t>مثال: 7S — اسم قاعدة الإنتاج</t>
        </is>
      </c>
    </row>
    <row r="11">
      <c r="A11" s="5" t="inlineStr">
        <is>
          <t>الوحدة المتأثرة</t>
        </is>
      </c>
      <c r="B11" s="6" t="inlineStr">
        <is>
          <t>Financials — General Ledger (تقارير فقط)</t>
        </is>
      </c>
      <c r="C11" s="6" t="inlineStr"/>
    </row>
    <row r="12">
      <c r="A12" s="5" t="inlineStr">
        <is>
          <t>نوع الطلب</t>
        </is>
      </c>
      <c r="B12" s="6" t="inlineStr">
        <is>
          <t>تطوير مخصص جديد</t>
        </is>
      </c>
      <c r="C12" s="6" t="inlineStr"/>
    </row>
    <row r="13">
      <c r="A13" s="5" t="inlineStr">
        <is>
          <t>فئة التغيير</t>
        </is>
      </c>
      <c r="B13" s="6" t="inlineStr">
        <is>
          <t>Normal Change</t>
        </is>
      </c>
      <c r="C13" s="6" t="inlineStr">
        <is>
          <t>لا يمسّ بيانات أو عمليات قائمة</t>
        </is>
      </c>
    </row>
    <row r="14">
      <c r="A14" s="5" t="inlineStr">
        <is>
          <t>الجهة الطالبة</t>
        </is>
      </c>
      <c r="B14" s="6" t="inlineStr">
        <is>
          <t>قسم المالية</t>
        </is>
      </c>
      <c r="C14" s="6" t="inlineStr"/>
    </row>
    <row r="15">
      <c r="A15" s="5" t="inlineStr">
        <is>
          <t>مقدّم الطلب</t>
        </is>
      </c>
      <c r="B15" s="7" t="inlineStr"/>
      <c r="C15" s="6" t="inlineStr">
        <is>
          <t>الاسم / المسمى / البريد</t>
        </is>
      </c>
    </row>
    <row r="16">
      <c r="A16" s="5" t="inlineStr">
        <is>
          <t>المالك الوظيفي</t>
        </is>
      </c>
      <c r="B16" s="6" t="inlineStr">
        <is>
          <t>المدير المالي</t>
        </is>
      </c>
      <c r="C16" s="6" t="inlineStr"/>
    </row>
    <row r="17">
      <c r="A17" s="5" t="inlineStr">
        <is>
          <t>المالك التقني</t>
        </is>
      </c>
      <c r="B17" s="6" t="inlineStr">
        <is>
          <t>فريق تطبيقات Yardi</t>
        </is>
      </c>
      <c r="C17" s="6" t="inlineStr"/>
    </row>
    <row r="18">
      <c r="A18" s="5" t="inlineStr">
        <is>
          <t>تاريخ الطلب</t>
        </is>
      </c>
      <c r="B18" s="7" t="inlineStr"/>
      <c r="C18" s="6" t="inlineStr"/>
    </row>
    <row r="19">
      <c r="A19" s="5" t="inlineStr">
        <is>
          <t>الأولوية</t>
        </is>
      </c>
      <c r="B19" s="6" t="inlineStr">
        <is>
          <t>عالية</t>
        </is>
      </c>
      <c r="C19" s="6" t="inlineStr">
        <is>
          <t>مرتبطة بموعد التدقيق السنوي</t>
        </is>
      </c>
    </row>
    <row r="20">
      <c r="A20" s="5" t="inlineStr">
        <is>
          <t>التاريخ المستهدف للتشغيل</t>
        </is>
      </c>
      <c r="B20" s="7" t="inlineStr"/>
      <c r="C20" s="6" t="inlineStr">
        <is>
          <t>٦ أسابيع على الأقل قبل إقفال السنة المالية</t>
        </is>
      </c>
    </row>
    <row r="21">
      <c r="A21" s="5" t="inlineStr">
        <is>
          <t>مركز التكلفة / بند الموازنة</t>
        </is>
      </c>
      <c r="B21" s="7" t="inlineStr"/>
      <c r="C21" s="6" t="inlineStr"/>
    </row>
    <row r="22">
      <c r="A22" s="5" t="inlineStr">
        <is>
          <t>الحالة</t>
        </is>
      </c>
      <c r="B22" s="6" t="inlineStr">
        <is>
          <t>مسوّدة — بانتظار الاعتماد</t>
        </is>
      </c>
      <c r="C22" s="6" t="inlineStr"/>
    </row>
    <row r="24" ht="30" customHeight="1">
      <c r="A24" s="8" t="inlineStr">
        <is>
          <t>الحل للقراءة فقط: لا يعدّل أي بيانات في Yardi ولا يمسّ أي كائن قياسي. أسوأ سيناريو للفشل هو تعطّل التقارير — لا فقدان أو إفساد بيانات.</t>
        </is>
      </c>
    </row>
    <row r="26" ht="28" customHeight="1">
      <c r="A26" s="2" t="inlineStr">
        <is>
          <t>محتويات الملف: ١. بيانات الطلب · ٢. المبرر والعائد · ٣. النطاق · ٤. المتطلبات المسبقة · ٥. المخرجات · ٦. الجهد والجدول · ٧. البدائل · ٨. الأثر · ٩. المخاطر · ١٠. معايير القبول · ١١. الاعتمادات</t>
        </is>
      </c>
    </row>
  </sheetData>
  <mergeCells count="5">
    <mergeCell ref="A1:C1"/>
    <mergeCell ref="A4:C4"/>
    <mergeCell ref="A26:C26"/>
    <mergeCell ref="A24:C2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38" customWidth="1" min="3" max="3"/>
    <col width="38" customWidth="1" min="4" max="4"/>
  </cols>
  <sheetData>
    <row r="1" ht="26" customHeight="1">
      <c r="A1" s="1" t="inlineStr">
        <is>
          <t>المبرر والعائد المتوقع</t>
        </is>
      </c>
    </row>
    <row r="2" ht="16" customHeight="1">
      <c r="A2" s="2" t="inlineStr">
        <is>
          <t>لماذا يُطلب هذا التطوير، وما الذي يتغيّر بعد تنفيذه</t>
        </is>
      </c>
    </row>
    <row r="4" ht="30" customHeight="1">
      <c r="A4" s="4" t="inlineStr">
        <is>
          <t>#</t>
        </is>
      </c>
      <c r="B4" s="4" t="inlineStr">
        <is>
          <t>الوضع الحالي</t>
        </is>
      </c>
      <c r="C4" s="4" t="inlineStr">
        <is>
          <t>المخاطرة</t>
        </is>
      </c>
      <c r="D4" s="4" t="inlineStr">
        <is>
          <t>العائد بعد التنفيذ</t>
        </is>
      </c>
    </row>
    <row r="5" ht="32" customHeight="1">
      <c r="A5" s="5" t="inlineStr">
        <is>
          <t>J1</t>
        </is>
      </c>
      <c r="B5" s="6" t="inlineStr">
        <is>
          <t>إعداد كشوف المديونية يدوياً في Excel</t>
        </is>
      </c>
      <c r="C5" s="6" t="inlineStr">
        <is>
          <t>≈ ١٢ ساعة عمل شهرياً + احتمال خطأ بشري</t>
        </is>
      </c>
      <c r="D5" s="6" t="inlineStr">
        <is>
          <t>صفر ساعة — إخراج آلي مطابق</t>
        </is>
      </c>
    </row>
    <row r="6" ht="32" customHeight="1">
      <c r="A6" s="5" t="inlineStr">
        <is>
          <t>J2</t>
        </is>
      </c>
      <c r="B6" s="6" t="inlineStr">
        <is>
          <t>لا يوجد ضابط مطابقة مع ميزان المراجعة</t>
        </is>
      </c>
      <c r="C6" s="6" t="inlineStr">
        <is>
          <t>أرصدة غير مطابقة تُكتشف عند التدقيق</t>
        </is>
      </c>
      <c r="D6" s="6" t="inlineStr">
        <is>
          <t>الفرق = 0.00 مفحوص آلياً في كل تشغيل</t>
        </is>
      </c>
    </row>
    <row r="7" ht="32" customHeight="1">
      <c r="A7" s="5" t="inlineStr">
        <is>
          <t>J3</t>
        </is>
      </c>
      <c r="B7" s="6" t="inlineStr">
        <is>
          <t>مصادقات نهاية السنة تُكتب يدوياً لكل موظف</t>
        </is>
      </c>
      <c r="C7" s="6" t="inlineStr">
        <is>
          <t>ملاحظة تدقيق على ضعف ضوابط مصادقة الأرصدة</t>
        </is>
      </c>
      <c r="D7" s="6" t="inlineStr">
        <is>
          <t>١٠٠٪ من النماذج خلال يوم عمل واحد</t>
        </is>
      </c>
    </row>
    <row r="8" ht="32" customHeight="1">
      <c r="A8" s="5" t="inlineStr">
        <is>
          <t>J4</t>
        </is>
      </c>
      <c r="B8" s="6" t="inlineStr">
        <is>
          <t>لا سجل موحّد للمصادقات الصادرة والمستلمة</t>
        </is>
      </c>
      <c r="C8" s="6" t="inlineStr">
        <is>
          <t>لا دليل اكتمال يُقدَّم للمدقق</t>
        </is>
      </c>
      <c r="D8" s="6" t="inlineStr">
        <is>
          <t>سجل لحظي بنسبة الاستجابة وتغطية الرصيد</t>
        </is>
      </c>
    </row>
    <row r="9" ht="32" customHeight="1">
      <c r="A9" s="5" t="inlineStr">
        <is>
          <t>J5</t>
        </is>
      </c>
      <c r="B9" s="6" t="inlineStr">
        <is>
          <t>لا متابعة لأرصدة منتهي الخدمة</t>
        </is>
      </c>
      <c r="C9" s="6" t="inlineStr">
        <is>
          <t>مخاطر تحصيل وخسائر فعلية</t>
        </is>
      </c>
      <c r="D9" s="6" t="inlineStr">
        <is>
          <t>قائمة آلية بمنتهي الخدمة ذوي رصيد ≠ 0</t>
        </is>
      </c>
    </row>
    <row r="10" ht="32" customHeight="1">
      <c r="A10" s="5" t="inlineStr">
        <is>
          <t>J6</t>
        </is>
      </c>
      <c r="B10" s="6" t="inlineStr">
        <is>
          <t>لا رؤية إدارية موحّدة عبر الشركات والكيانات</t>
        </is>
      </c>
      <c r="C10" s="6" t="inlineStr">
        <is>
          <t>قرارات مبنية على صورة جزئية</t>
        </is>
      </c>
      <c r="D10" s="6" t="inlineStr">
        <is>
          <t>تقرير واحد يغطي كل الكيانات المصرّح بها</t>
        </is>
      </c>
    </row>
    <row r="12">
      <c r="A12" s="9" t="inlineStr">
        <is>
          <t>الأهداف القابلة للقياس</t>
        </is>
      </c>
    </row>
    <row r="13" ht="30" customHeight="1">
      <c r="A13" s="4" t="inlineStr">
        <is>
          <t>#</t>
        </is>
      </c>
      <c r="B13" s="4" t="inlineStr">
        <is>
          <t>الهدف</t>
        </is>
      </c>
      <c r="C13" s="4" t="inlineStr">
        <is>
          <t>المؤشر</t>
        </is>
      </c>
      <c r="D13" s="4" t="inlineStr">
        <is>
          <t>أساس القياس</t>
        </is>
      </c>
    </row>
    <row r="14" ht="28" customHeight="1">
      <c r="A14" s="5" t="inlineStr">
        <is>
          <t>G1</t>
        </is>
      </c>
      <c r="B14" s="6" t="inlineStr">
        <is>
          <t>إلغاء الإعداد اليدوي للكشوف</t>
        </is>
      </c>
      <c r="C14" s="6" t="inlineStr">
        <is>
          <t>من ≈ ١٢ ساعة شهرياً إلى صفر</t>
        </is>
      </c>
      <c r="D14" s="6" t="inlineStr">
        <is>
          <t>قياس وقت الفريق قبل/بعد</t>
        </is>
      </c>
    </row>
    <row r="15" ht="28" customHeight="1">
      <c r="A15" s="5" t="inlineStr">
        <is>
          <t>G2</t>
        </is>
      </c>
      <c r="B15" s="6" t="inlineStr">
        <is>
          <t>مطابقة تامة مع ميزان المراجعة</t>
        </is>
      </c>
      <c r="C15" s="6" t="inlineStr">
        <is>
          <t>الفرق = 0.00 في كل تشغيل</t>
        </is>
      </c>
      <c r="D15" s="6" t="inlineStr">
        <is>
          <t>سطر ضابط المطابقة في التقرير</t>
        </is>
      </c>
    </row>
    <row r="16" ht="28" customHeight="1">
      <c r="A16" s="5" t="inlineStr">
        <is>
          <t>G3</t>
        </is>
      </c>
      <c r="B16" s="6" t="inlineStr">
        <is>
          <t>إصدار مصادقات نهاية السنة</t>
        </is>
      </c>
      <c r="C16" s="6" t="inlineStr">
        <is>
          <t>١٠٠٪ من الموظفين ذوي رصيد ≠ 0 خلال يوم عمل</t>
        </is>
      </c>
      <c r="D16" s="6" t="inlineStr">
        <is>
          <t>سجل الإصدار</t>
        </is>
      </c>
    </row>
    <row r="17" ht="28" customHeight="1">
      <c r="A17" s="5" t="inlineStr">
        <is>
          <t>G4</t>
        </is>
      </c>
      <c r="B17" s="6" t="inlineStr">
        <is>
          <t>تتبّع المصادقات المستلمة</t>
        </is>
      </c>
      <c r="C17" s="6" t="inlineStr">
        <is>
          <t>نسبة استلام لحظية تُعرض للمدقق</t>
        </is>
      </c>
      <c r="D17" s="6" t="inlineStr">
        <is>
          <t>سجل متابعة المصادقات</t>
        </is>
      </c>
    </row>
    <row r="18" ht="28" customHeight="1">
      <c r="A18" s="5" t="inlineStr">
        <is>
          <t>G5</t>
        </is>
      </c>
      <c r="B18" s="6" t="inlineStr">
        <is>
          <t>ضبط مخاطر التحصيل</t>
        </is>
      </c>
      <c r="C18" s="6" t="inlineStr">
        <is>
          <t>قائمة شهرية بمنتهي الخدمة ذوي رصيد</t>
        </is>
      </c>
      <c r="D18" s="6" t="inlineStr">
        <is>
          <t>تقرير مفلتر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60" customWidth="1" min="3" max="3"/>
    <col width="18" customWidth="1" min="4" max="4"/>
  </cols>
  <sheetData>
    <row r="1" ht="26" customHeight="1">
      <c r="A1" s="1" t="inlineStr">
        <is>
          <t>النطاق المطلوب</t>
        </is>
      </c>
    </row>
    <row r="2" ht="16" customHeight="1">
      <c r="A2" s="2" t="inlineStr">
        <is>
          <t>ما يشمله الطلب وما لا يشمله</t>
        </is>
      </c>
    </row>
    <row r="4" ht="30" customHeight="1">
      <c r="A4" s="4" t="inlineStr">
        <is>
          <t>الرمز</t>
        </is>
      </c>
      <c r="B4" s="4" t="inlineStr">
        <is>
          <t>التقرير</t>
        </is>
      </c>
      <c r="C4" s="4" t="inlineStr">
        <is>
          <t>الغرض</t>
        </is>
      </c>
      <c r="D4" s="4" t="inlineStr">
        <is>
          <t>التصنيف</t>
        </is>
      </c>
    </row>
    <row r="5" ht="32" customHeight="1">
      <c r="A5" s="5" t="inlineStr">
        <is>
          <t>EMPRCV-R1</t>
        </is>
      </c>
      <c r="B5" s="6" t="inlineStr">
        <is>
          <t>ملخص مديونية الموظفين</t>
        </is>
      </c>
      <c r="C5" s="6" t="inlineStr">
        <is>
          <t>رصيد كل موظف حتى تاريخ معيّن موزّعاً على الأعمار والفئات، مع ضابط مطابقة مع ميزان المراجعة</t>
        </is>
      </c>
      <c r="D5" s="10" t="inlineStr">
        <is>
          <t>داخل النطاق</t>
        </is>
      </c>
    </row>
    <row r="6" ht="32" customHeight="1">
      <c r="A6" s="5" t="inlineStr">
        <is>
          <t>EMPRCV-R2</t>
        </is>
      </c>
      <c r="B6" s="6" t="inlineStr">
        <is>
          <t>كشف حساب تفصيلي للموظف</t>
        </is>
      </c>
      <c r="C6" s="6" t="inlineStr">
        <is>
          <t>حركة تفصيلية برصيد متحرك ودرل داون إلى المستند في Voyager</t>
        </is>
      </c>
      <c r="D6" s="10" t="inlineStr">
        <is>
          <t>داخل النطاق</t>
        </is>
      </c>
    </row>
    <row r="7" ht="32" customHeight="1">
      <c r="A7" s="5" t="inlineStr">
        <is>
          <t>EMPRCV-R3</t>
        </is>
      </c>
      <c r="B7" s="6" t="inlineStr">
        <is>
          <t>نموذج اعتماد رصيد الموظف</t>
        </is>
      </c>
      <c r="C7" s="6" t="inlineStr">
        <is>
          <t>مستند رسمي بإقرار وتوقيع لنهاية السنة المالية، مبني على لقطة رصيد مجمّدة</t>
        </is>
      </c>
      <c r="D7" s="10" t="inlineStr">
        <is>
          <t>داخل النطاق</t>
        </is>
      </c>
    </row>
    <row r="8" ht="32" customHeight="1">
      <c r="A8" s="5" t="inlineStr">
        <is>
          <t>EMPRCV-R3L</t>
        </is>
      </c>
      <c r="B8" s="6" t="inlineStr">
        <is>
          <t>سجل متابعة المصادقات</t>
        </is>
      </c>
      <c r="C8" s="6" t="inlineStr">
        <is>
          <t>دليل الاكتمال الذي يُسلَّم للمدقق: صادر / موقّع / معترض / معلّق</t>
        </is>
      </c>
      <c r="D8" s="10" t="inlineStr">
        <is>
          <t>داخل النطاق</t>
        </is>
      </c>
    </row>
    <row r="9" ht="40" customHeight="1">
      <c r="A9" s="6" t="inlineStr">
        <is>
          <t>—</t>
        </is>
      </c>
      <c r="B9" s="6" t="inlineStr">
        <is>
          <t>متطلبات عابرة للتقارير</t>
        </is>
      </c>
      <c r="C9" s="6" t="inlineStr">
        <is>
          <t>سيجمنتيشن · تعدد شركات وكيانات · أرصدة حتى تاريخ معيّن من معاملات الحسابات العامة · تصدير Excel و PDF · درل داون على مستويين · دعم العربية والإنجليزية</t>
        </is>
      </c>
      <c r="D9" s="10" t="inlineStr">
        <is>
          <t>داخل النطاق</t>
        </is>
      </c>
    </row>
    <row r="11" ht="30" customHeight="1">
      <c r="A11" s="4" t="inlineStr">
        <is>
          <t>#</t>
        </is>
      </c>
      <c r="B11" s="4" t="inlineStr">
        <is>
          <t>البند خارج النطاق</t>
        </is>
      </c>
      <c r="C11" s="4" t="inlineStr">
        <is>
          <t>السبب</t>
        </is>
      </c>
      <c r="D11" s="4" t="inlineStr">
        <is>
          <t>التصنيف</t>
        </is>
      </c>
    </row>
    <row r="12" ht="26" customHeight="1">
      <c r="A12" s="5" t="inlineStr">
        <is>
          <t>O1</t>
        </is>
      </c>
      <c r="B12" s="6" t="inlineStr">
        <is>
          <t>إنشاء أو ترحيل قيود المديونية</t>
        </is>
      </c>
      <c r="C12" s="6" t="inlineStr">
        <is>
          <t>الحل للقراءة فقط</t>
        </is>
      </c>
      <c r="D12" s="11" t="inlineStr">
        <is>
          <t>خارج النطاق</t>
        </is>
      </c>
    </row>
    <row r="13" ht="26" customHeight="1">
      <c r="A13" s="5" t="inlineStr">
        <is>
          <t>O2</t>
        </is>
      </c>
      <c r="B13" s="6" t="inlineStr">
        <is>
          <t>احتساب الفوائد وجداول السداد</t>
        </is>
      </c>
      <c r="C13" s="6" t="inlineStr">
        <is>
          <t>توسعة مستقبلية</t>
        </is>
      </c>
      <c r="D13" s="11" t="inlineStr">
        <is>
          <t>خارج النطاق</t>
        </is>
      </c>
    </row>
    <row r="14" ht="26" customHeight="1">
      <c r="A14" s="5" t="inlineStr">
        <is>
          <t>O3</t>
        </is>
      </c>
      <c r="B14" s="6" t="inlineStr">
        <is>
          <t>التكامل مع أنظمة رواتب خارج Yardi</t>
        </is>
      </c>
      <c r="C14" s="6" t="inlineStr">
        <is>
          <t>مرحلة ثانية عبر مصدر موظف إضافي</t>
        </is>
      </c>
      <c r="D14" s="11" t="inlineStr">
        <is>
          <t>خارج النطاق</t>
        </is>
      </c>
    </row>
    <row r="15" ht="26" customHeight="1">
      <c r="A15" s="5" t="inlineStr">
        <is>
          <t>O4</t>
        </is>
      </c>
      <c r="B15" s="6" t="inlineStr">
        <is>
          <t>التوقيع الإلكتروني المعتمد</t>
        </is>
      </c>
      <c r="C15" s="6" t="inlineStr">
        <is>
          <t>مرحلة لاحقة</t>
        </is>
      </c>
      <c r="D15" s="11" t="inlineStr">
        <is>
          <t>خارج النطاق</t>
        </is>
      </c>
    </row>
    <row r="16" ht="26" customHeight="1">
      <c r="A16" s="5" t="inlineStr">
        <is>
          <t>O5</t>
        </is>
      </c>
      <c r="B16" s="6" t="inlineStr">
        <is>
          <t>تنقية البيانات التاريخية</t>
        </is>
      </c>
      <c r="C16" s="6" t="inlineStr">
        <is>
          <t>مسؤولية العميل — بند مسبق PR7</t>
        </is>
      </c>
      <c r="D16" s="11" t="inlineStr">
        <is>
          <t>خارج النطاق</t>
        </is>
      </c>
    </row>
    <row r="17" ht="26" customHeight="1">
      <c r="A17" s="5" t="inlineStr">
        <is>
          <t>O6</t>
        </is>
      </c>
      <c r="B17" s="6" t="inlineStr">
        <is>
          <t>مخصص الديون المشكوك في تحصيلها</t>
        </is>
      </c>
      <c r="C17" s="6" t="inlineStr">
        <is>
          <t>توسعة مبنية على شرائح الأعمار</t>
        </is>
      </c>
      <c r="D17" s="11" t="inlineStr">
        <is>
          <t>خارج النطاق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26" customWidth="1" min="3" max="3"/>
    <col width="16" customWidth="1" min="4" max="4"/>
    <col width="16" customWidth="1" min="5" max="5"/>
    <col width="26" customWidth="1" min="6" max="6"/>
  </cols>
  <sheetData>
    <row r="1" ht="26" customHeight="1">
      <c r="A1" s="1" t="inlineStr">
        <is>
          <t>المتطلبات المسبقة — لا يبدأ التنفيذ قبل اكتمالها</t>
        </is>
      </c>
    </row>
    <row r="2" ht="16" customHeight="1">
      <c r="A2" s="2" t="inlineStr">
        <is>
          <t>العدّ الزمني للمشروع يبدأ من تاريخ اكتمال هذه البنود، لا من تاريخ الاعتماد</t>
        </is>
      </c>
    </row>
    <row r="4" ht="30" customHeight="1">
      <c r="A4" s="12" t="inlineStr">
        <is>
          <t>PR1 هي البوابة الحاكمة: أسماء جداول وأعمدة Yardi تختلف بين إصدارات Voyager وبين إعدادات كل عميل. البناء قبل تثبيتها يُنتج أرصدة خاطئة بصمت.</t>
        </is>
      </c>
    </row>
    <row r="6" ht="30" customHeight="1">
      <c r="A6" s="4" t="inlineStr">
        <is>
          <t>#</t>
        </is>
      </c>
      <c r="B6" s="4" t="inlineStr">
        <is>
          <t>البند</t>
        </is>
      </c>
      <c r="C6" s="4" t="inlineStr">
        <is>
          <t>المسؤول</t>
        </is>
      </c>
      <c r="D6" s="4" t="inlineStr">
        <is>
          <t>الحالة</t>
        </is>
      </c>
      <c r="E6" s="4" t="inlineStr">
        <is>
          <t>تاريخ الاكتمال</t>
        </is>
      </c>
      <c r="F6" s="4" t="inlineStr">
        <is>
          <t>ملاحظات</t>
        </is>
      </c>
    </row>
    <row r="7" ht="26" customHeight="1">
      <c r="A7" s="5" t="inlineStr">
        <is>
          <t>PR1</t>
        </is>
      </c>
      <c r="B7" s="6" t="inlineStr">
        <is>
          <t>التحقق من سكيما Yardi وتثبيت النتائج في جدول خريطة السكيما</t>
        </is>
      </c>
      <c r="C7" s="6" t="inlineStr">
        <is>
          <t>قاعدة البيانات + Yardi</t>
        </is>
      </c>
      <c r="D7" s="13" t="inlineStr">
        <is>
          <t>لم يبدأ</t>
        </is>
      </c>
      <c r="E7" s="14" t="n"/>
      <c r="F7" s="7" t="n"/>
    </row>
    <row r="8" ht="26" customHeight="1">
      <c r="A8" s="5" t="inlineStr">
        <is>
          <t>PR2</t>
        </is>
      </c>
      <c r="B8" s="6" t="inlineStr">
        <is>
          <t>اعتماد نطاق حسابات المديونية وتصنيفها إلى فئات</t>
        </is>
      </c>
      <c r="C8" s="6" t="inlineStr">
        <is>
          <t>المالية</t>
        </is>
      </c>
      <c r="D8" s="13" t="inlineStr">
        <is>
          <t>لم يبدأ</t>
        </is>
      </c>
      <c r="E8" s="14" t="n"/>
      <c r="F8" s="7" t="n"/>
    </row>
    <row r="9" ht="26" customHeight="1">
      <c r="A9" s="5" t="inlineStr">
        <is>
          <t>PR3</t>
        </is>
      </c>
      <c r="B9" s="6" t="inlineStr">
        <is>
          <t>تحديد طريقة تمثيل الموظف المعتمدة (مورد / شريحة / حساب فرعي)</t>
        </is>
      </c>
      <c r="C9" s="6" t="inlineStr">
        <is>
          <t>المالية + الموارد البشرية</t>
        </is>
      </c>
      <c r="D9" s="13" t="inlineStr">
        <is>
          <t>لم يبدأ</t>
        </is>
      </c>
      <c r="E9" s="14" t="n"/>
      <c r="F9" s="7" t="n"/>
    </row>
    <row r="10" ht="26" customHeight="1">
      <c r="A10" s="5" t="inlineStr">
        <is>
          <t>PR4</t>
        </is>
      </c>
      <c r="B10" s="6" t="inlineStr">
        <is>
          <t>اعتماد نص الإقرار قانونياً (عربي + إنجليزي)</t>
        </is>
      </c>
      <c r="C10" s="6" t="inlineStr">
        <is>
          <t>الإدارة القانونية</t>
        </is>
      </c>
      <c r="D10" s="13" t="inlineStr">
        <is>
          <t>لم يبدأ</t>
        </is>
      </c>
      <c r="E10" s="14" t="n"/>
      <c r="F10" s="7" t="n"/>
    </row>
    <row r="11" ht="26" customHeight="1">
      <c r="A11" s="5" t="inlineStr">
        <is>
          <t>PR5</t>
        </is>
      </c>
      <c r="B11" s="6" t="inlineStr">
        <is>
          <t>خريطة أمان المستخدمين ← الكيانات المصرّح بها</t>
        </is>
      </c>
      <c r="C11" s="6" t="inlineStr">
        <is>
          <t>مسؤول أمان Voyager</t>
        </is>
      </c>
      <c r="D11" s="13" t="inlineStr">
        <is>
          <t>لم يبدأ</t>
        </is>
      </c>
      <c r="E11" s="14" t="n"/>
      <c r="F11" s="7" t="n"/>
    </row>
    <row r="12" ht="26" customHeight="1">
      <c r="A12" s="5" t="inlineStr">
        <is>
          <t>PR6</t>
        </is>
      </c>
      <c r="B12" s="6" t="inlineStr">
        <is>
          <t>بيئة اختبار محدّثة بنسخة قريبة من الإنتاج</t>
        </is>
      </c>
      <c r="C12" s="6" t="inlineStr">
        <is>
          <t>البنية التحتية</t>
        </is>
      </c>
      <c r="D12" s="13" t="inlineStr">
        <is>
          <t>لم يبدأ</t>
        </is>
      </c>
      <c r="E12" s="14" t="n"/>
      <c r="F12" s="7" t="n"/>
    </row>
    <row r="13" ht="26" customHeight="1">
      <c r="A13" s="5" t="inlineStr">
        <is>
          <t>PR7</t>
        </is>
      </c>
      <c r="B13" s="6" t="inlineStr">
        <is>
          <t>تنقية الحركات التاريخية غير المنسوبة لموظف</t>
        </is>
      </c>
      <c r="C13" s="6" t="inlineStr">
        <is>
          <t>المالية</t>
        </is>
      </c>
      <c r="D13" s="13" t="inlineStr">
        <is>
          <t>لم يبدأ</t>
        </is>
      </c>
      <c r="E13" s="14" t="n"/>
      <c r="F13" s="7" t="n"/>
    </row>
    <row r="14" ht="26" customHeight="1">
      <c r="A14" s="5" t="inlineStr">
        <is>
          <t>PR8</t>
        </is>
      </c>
      <c r="B14" s="6" t="inlineStr">
        <is>
          <t>تفريغ مرجع من المالية (≈ ٣٠٪ من وقته لمدة ٦ أسابيع)</t>
        </is>
      </c>
      <c r="C14" s="6" t="inlineStr">
        <is>
          <t>المالية</t>
        </is>
      </c>
      <c r="D14" s="13" t="inlineStr">
        <is>
          <t>لم يبدأ</t>
        </is>
      </c>
      <c r="E14" s="14" t="n"/>
      <c r="F14" s="7" t="n"/>
    </row>
    <row r="15" ht="26" customHeight="1">
      <c r="A15" s="5" t="inlineStr">
        <is>
          <t>PR9</t>
        </is>
      </c>
      <c r="B15" s="6" t="inlineStr">
        <is>
          <t>اعتماد قوالب روابط شاشات Voyager للدرل داون</t>
        </is>
      </c>
      <c r="C15" s="6" t="inlineStr">
        <is>
          <t>فريق تطبيقات Yardi</t>
        </is>
      </c>
      <c r="D15" s="13" t="inlineStr">
        <is>
          <t>لم يبدأ</t>
        </is>
      </c>
      <c r="E15" s="14" t="n"/>
      <c r="F15" s="7" t="n"/>
    </row>
    <row r="16" ht="26" customHeight="1">
      <c r="A16" s="5" t="inlineStr">
        <is>
          <t>PR10</t>
        </is>
      </c>
      <c r="B16" s="6" t="inlineStr">
        <is>
          <t>تحديد دفتر التقرير (Accrual) وقيمة حالة الترحيل المعتمدة</t>
        </is>
      </c>
      <c r="C16" s="6" t="inlineStr">
        <is>
          <t>المالية + Yardi</t>
        </is>
      </c>
      <c r="D16" s="13" t="inlineStr">
        <is>
          <t>لم يبدأ</t>
        </is>
      </c>
      <c r="E16" s="14" t="n"/>
      <c r="F16" s="7" t="n"/>
    </row>
    <row r="18">
      <c r="A18" s="9" t="inlineStr">
        <is>
          <t>ملخص الجاهزية</t>
        </is>
      </c>
    </row>
    <row r="19">
      <c r="A19" s="15" t="inlineStr">
        <is>
          <t>عدد البنود</t>
        </is>
      </c>
      <c r="B19" s="16">
        <f>COUNTA(A7:A16)</f>
        <v/>
      </c>
    </row>
    <row r="20">
      <c r="A20" s="15" t="inlineStr">
        <is>
          <t>مكتملة</t>
        </is>
      </c>
      <c r="B20" s="16">
        <f>COUNTIF(D7:D16,"مكتمل")</f>
        <v/>
      </c>
    </row>
    <row r="21">
      <c r="A21" s="15" t="inlineStr">
        <is>
          <t>قيد العمل</t>
        </is>
      </c>
      <c r="B21" s="16">
        <f>COUNTIF(D7:D16,"قيد العمل")</f>
        <v/>
      </c>
    </row>
    <row r="22">
      <c r="A22" s="15" t="inlineStr">
        <is>
          <t>لم يبدأ</t>
        </is>
      </c>
      <c r="B22" s="16">
        <f>COUNTIF(D7:D16,"لم يبدأ")</f>
        <v/>
      </c>
    </row>
    <row r="23">
      <c r="A23" s="15" t="inlineStr">
        <is>
          <t>نسبة الجاهزية</t>
        </is>
      </c>
      <c r="B23" s="17">
        <f>IFERROR(COUNTIF(D7:D16,"مكتمل")/COUNTA(A7:A16),0)</f>
        <v/>
      </c>
      <c r="C23" s="18" t="inlineStr">
        <is>
          <t>التنفيذ لا يبدأ قبل بلوغ ١٠٠٪</t>
        </is>
      </c>
    </row>
  </sheetData>
  <mergeCells count="3">
    <mergeCell ref="A2:F2"/>
    <mergeCell ref="A1:F1"/>
    <mergeCell ref="A4:F4"/>
  </mergeCells>
  <dataValidations count="1">
    <dataValidation sqref="D7:D16" showDropDown="0" showInputMessage="0" showErrorMessage="0" allowBlank="1" type="list">
      <formula1>"لم يبدأ,قيد العمل,مكتمل,غير مطلوب"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26" customWidth="1" min="3" max="3"/>
    <col width="20" customWidth="1" min="4" max="4"/>
  </cols>
  <sheetData>
    <row r="1" ht="26" customHeight="1">
      <c r="A1" s="1" t="inlineStr">
        <is>
          <t>المخرجات المطلوبة</t>
        </is>
      </c>
    </row>
    <row r="2" ht="16" customHeight="1">
      <c r="A2" s="2" t="inlineStr">
        <is>
          <t>ما يُسلَّم عند اكتمال التنفيذ</t>
        </is>
      </c>
    </row>
    <row r="4" ht="30" customHeight="1">
      <c r="A4" s="4" t="inlineStr">
        <is>
          <t>#</t>
        </is>
      </c>
      <c r="B4" s="4" t="inlineStr">
        <is>
          <t>المخرج</t>
        </is>
      </c>
      <c r="C4" s="4" t="inlineStr">
        <is>
          <t>الصيغة</t>
        </is>
      </c>
      <c r="D4" s="4" t="inlineStr">
        <is>
          <t>مرحلة التسليم</t>
        </is>
      </c>
    </row>
    <row r="5" ht="24" customHeight="1">
      <c r="A5" s="5" t="inlineStr">
        <is>
          <t>D1</t>
        </is>
      </c>
      <c r="B5" s="6" t="inlineStr">
        <is>
          <t>جداول الإعداد والسجلات + بياناتها الأولية</t>
        </is>
      </c>
      <c r="C5" s="6" t="inlineStr">
        <is>
          <t>نصوص SQL</t>
        </is>
      </c>
      <c r="D5" s="6" t="inlineStr">
        <is>
          <t>M1</t>
        </is>
      </c>
    </row>
    <row r="6" ht="24" customHeight="1">
      <c r="A6" s="5" t="inlineStr">
        <is>
          <t>D2</t>
        </is>
      </c>
      <c r="B6" s="6" t="inlineStr">
        <is>
          <t>طبقة العزل عن سكيما Yardi ونواة البيانات</t>
        </is>
      </c>
      <c r="C6" s="6" t="inlineStr">
        <is>
          <t>نصوص SQL</t>
        </is>
      </c>
      <c r="D6" s="6" t="inlineStr">
        <is>
          <t>M2</t>
        </is>
      </c>
    </row>
    <row r="7" ht="24" customHeight="1">
      <c r="A7" s="5" t="inlineStr">
        <is>
          <t>D3</t>
        </is>
      </c>
      <c r="B7" s="6" t="inlineStr">
        <is>
          <t>الإجراءات المخزّنة للتقارير الأربعة</t>
        </is>
      </c>
      <c r="C7" s="6" t="inlineStr">
        <is>
          <t>نصوص SQL</t>
        </is>
      </c>
      <c r="D7" s="6" t="inlineStr">
        <is>
          <t>M3–M5</t>
        </is>
      </c>
    </row>
    <row r="8" ht="24" customHeight="1">
      <c r="A8" s="5" t="inlineStr">
        <is>
          <t>D4</t>
        </is>
      </c>
      <c r="B8" s="6" t="inlineStr">
        <is>
          <t>ملفات التقارير</t>
        </is>
      </c>
      <c r="C8" s="6" t="inlineStr">
        <is>
          <t>RDL (SSRS)</t>
        </is>
      </c>
      <c r="D8" s="6" t="inlineStr">
        <is>
          <t>M3–M5</t>
        </is>
      </c>
    </row>
    <row r="9" ht="24" customHeight="1">
      <c r="A9" s="5" t="inlineStr">
        <is>
          <t>D5</t>
        </is>
      </c>
      <c r="B9" s="6" t="inlineStr">
        <is>
          <t>ضوابط المطابقة وفحص الإعداد + الوظيفة الليلية</t>
        </is>
      </c>
      <c r="C9" s="6" t="inlineStr">
        <is>
          <t>نصوص SQL + Job</t>
        </is>
      </c>
      <c r="D9" s="6" t="inlineStr">
        <is>
          <t>M6</t>
        </is>
      </c>
    </row>
    <row r="10" ht="24" customHeight="1">
      <c r="A10" s="5" t="inlineStr">
        <is>
          <t>D6</t>
        </is>
      </c>
      <c r="B10" s="6" t="inlineStr">
        <is>
          <t>تسجيل التقارير في قائمة Voyager وربط الصلاحيات</t>
        </is>
      </c>
      <c r="C10" s="6" t="inlineStr">
        <is>
          <t>إعداد + توثيق</t>
        </is>
      </c>
      <c r="D10" s="6" t="inlineStr">
        <is>
          <t>M7</t>
        </is>
      </c>
    </row>
    <row r="11" ht="24" customHeight="1">
      <c r="A11" s="5" t="inlineStr">
        <is>
          <t>D7</t>
        </is>
      </c>
      <c r="B11" s="6" t="inlineStr">
        <is>
          <t>وثيقة نتائج التحقق من السكيما</t>
        </is>
      </c>
      <c r="C11" s="6" t="inlineStr">
        <is>
          <t>مستند</t>
        </is>
      </c>
      <c r="D11" s="6" t="inlineStr">
        <is>
          <t>M0</t>
        </is>
      </c>
    </row>
    <row r="12" ht="24" customHeight="1">
      <c r="A12" s="5" t="inlineStr">
        <is>
          <t>D8</t>
        </is>
      </c>
      <c r="B12" s="6" t="inlineStr">
        <is>
          <t>دليل المستخدم (عربي) ودليل التشغيل الفني</t>
        </is>
      </c>
      <c r="C12" s="6" t="inlineStr">
        <is>
          <t>مستند</t>
        </is>
      </c>
      <c r="D12" s="6" t="inlineStr">
        <is>
          <t>M9</t>
        </is>
      </c>
    </row>
    <row r="13" ht="24" customHeight="1">
      <c r="A13" s="5" t="inlineStr">
        <is>
          <t>D9</t>
        </is>
      </c>
      <c r="B13" s="6" t="inlineStr">
        <is>
          <t>نتائج اختبار القبول والأداء موثّقة</t>
        </is>
      </c>
      <c r="C13" s="6" t="inlineStr">
        <is>
          <t>مستند</t>
        </is>
      </c>
      <c r="D13" s="6" t="inlineStr">
        <is>
          <t>M8</t>
        </is>
      </c>
    </row>
    <row r="14" ht="24" customHeight="1">
      <c r="A14" s="5" t="inlineStr">
        <is>
          <t>D10</t>
        </is>
      </c>
      <c r="B14" s="6" t="inlineStr">
        <is>
          <t>نصوص التراجع (Rollback)</t>
        </is>
      </c>
      <c r="C14" s="6" t="inlineStr">
        <is>
          <t>نصوص SQL</t>
        </is>
      </c>
      <c r="D14" s="6" t="inlineStr">
        <is>
          <t>M10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  <col width="16" customWidth="1" min="4" max="4"/>
    <col width="16" customWidth="1" min="5" max="5"/>
    <col width="24" customWidth="1" min="6" max="6"/>
  </cols>
  <sheetData>
    <row r="1" ht="26" customHeight="1">
      <c r="A1" s="1" t="inlineStr">
        <is>
          <t>تقدير الجهد والجدول الزمني</t>
        </is>
      </c>
    </row>
    <row r="2" ht="16" customHeight="1">
      <c r="A2" s="2" t="inlineStr">
        <is>
          <t>المدة التقديرية ٧ إلى ٨ أسابيع من تاريخ اكتمال المتطلبات المسبقة</t>
        </is>
      </c>
    </row>
    <row r="4" ht="30" customHeight="1">
      <c r="A4" s="4" t="inlineStr">
        <is>
          <t>المرحلة</t>
        </is>
      </c>
      <c r="B4" s="4" t="inlineStr">
        <is>
          <t>الوصف</t>
        </is>
      </c>
      <c r="C4" s="4" t="inlineStr">
        <is>
          <t>أيام المنفّذ</t>
        </is>
      </c>
      <c r="D4" s="4" t="inlineStr">
        <is>
          <t>أيام العميل</t>
        </is>
      </c>
      <c r="E4" s="4" t="inlineStr">
        <is>
          <t>إجمالي الأيام</t>
        </is>
      </c>
      <c r="F4" s="4" t="inlineStr">
        <is>
          <t>بوابة الانتقال</t>
        </is>
      </c>
    </row>
    <row r="5" ht="26" customHeight="1">
      <c r="A5" s="5" t="inlineStr">
        <is>
          <t>M0</t>
        </is>
      </c>
      <c r="B5" s="6" t="inlineStr">
        <is>
          <t>التحقق من السكيما — بوابة إلزامية</t>
        </is>
      </c>
      <c r="C5" s="19" t="n">
        <v>4</v>
      </c>
      <c r="D5" s="19" t="n">
        <v>3</v>
      </c>
      <c r="E5" s="19">
        <f>C5+D5</f>
        <v/>
      </c>
      <c r="F5" s="6" t="inlineStr">
        <is>
          <t>مطابقة طبقة العزل مع ميزان المراجعة</t>
        </is>
      </c>
    </row>
    <row r="6" ht="26" customHeight="1">
      <c r="A6" s="5" t="inlineStr">
        <is>
          <t>M1</t>
        </is>
      </c>
      <c r="B6" s="6" t="inlineStr">
        <is>
          <t>جداول الإعداد واعتماد نطاق الحسابات</t>
        </is>
      </c>
      <c r="C6" s="19" t="n">
        <v>3</v>
      </c>
      <c r="D6" s="19" t="n">
        <v>2</v>
      </c>
      <c r="E6" s="19">
        <f>C6+D6</f>
        <v/>
      </c>
      <c r="F6" s="6" t="inlineStr">
        <is>
          <t>اعتماد المالية لنطاق الحسابات</t>
        </is>
      </c>
    </row>
    <row r="7" ht="26" customHeight="1">
      <c r="A7" s="5" t="inlineStr">
        <is>
          <t>M2</t>
        </is>
      </c>
      <c r="B7" s="6" t="inlineStr">
        <is>
          <t>طبقة العزل + نواة البيانات + اختبار المطابقة</t>
        </is>
      </c>
      <c r="C7" s="19" t="n">
        <v>5</v>
      </c>
      <c r="D7" s="19" t="n">
        <v>1</v>
      </c>
      <c r="E7" s="19">
        <f>C7+D7</f>
        <v/>
      </c>
      <c r="F7" s="6" t="inlineStr">
        <is>
          <t>ضابط RC1 يمرّ على ٣ تواريخ</t>
        </is>
      </c>
    </row>
    <row r="8" ht="26" customHeight="1">
      <c r="A8" s="5" t="inlineStr">
        <is>
          <t>M3</t>
        </is>
      </c>
      <c r="B8" s="6" t="inlineStr">
        <is>
          <t>تقرير R1 — الحقول والفلاتر والأعمار والتصدير</t>
        </is>
      </c>
      <c r="C8" s="19" t="n">
        <v>5</v>
      </c>
      <c r="D8" s="19" t="n">
        <v>1</v>
      </c>
      <c r="E8" s="19">
        <f>C8+D8</f>
        <v/>
      </c>
      <c r="F8" s="6" t="inlineStr">
        <is>
          <t>معايير AT1 · AT3 · AT5 · AT6</t>
        </is>
      </c>
    </row>
    <row r="9" ht="26" customHeight="1">
      <c r="A9" s="5" t="inlineStr">
        <is>
          <t>M4</t>
        </is>
      </c>
      <c r="B9" s="6" t="inlineStr">
        <is>
          <t>تقرير R2 — الرصيد المتحرك والدرل داون</t>
        </is>
      </c>
      <c r="C9" s="19" t="n">
        <v>4</v>
      </c>
      <c r="D9" s="19" t="n">
        <v>1</v>
      </c>
      <c r="E9" s="19">
        <f>C9+D9</f>
        <v/>
      </c>
      <c r="F9" s="6" t="inlineStr">
        <is>
          <t>معايير AT2 · AT4</t>
        </is>
      </c>
    </row>
    <row r="10" ht="26" customHeight="1">
      <c r="A10" s="5" t="inlineStr">
        <is>
          <t>M5</t>
        </is>
      </c>
      <c r="B10" s="6" t="inlineStr">
        <is>
          <t>نموذج R3 + سجل R3L + اللقطة المجمّدة</t>
        </is>
      </c>
      <c r="C10" s="19" t="n">
        <v>5</v>
      </c>
      <c r="D10" s="19" t="n">
        <v>2</v>
      </c>
      <c r="E10" s="19">
        <f>C10+D10</f>
        <v/>
      </c>
      <c r="F10" s="6" t="inlineStr">
        <is>
          <t>معايير AT7 · AT8</t>
        </is>
      </c>
    </row>
    <row r="11" ht="26" customHeight="1">
      <c r="A11" s="5" t="inlineStr">
        <is>
          <t>M6</t>
        </is>
      </c>
      <c r="B11" s="6" t="inlineStr">
        <is>
          <t>الأداء: جدول التجميع والوظيفة الليلية والقياس</t>
        </is>
      </c>
      <c r="C11" s="19" t="n">
        <v>3</v>
      </c>
      <c r="D11" s="19" t="n">
        <v>1</v>
      </c>
      <c r="E11" s="19">
        <f>C11+D11</f>
        <v/>
      </c>
      <c r="F11" s="6" t="inlineStr">
        <is>
          <t>تحقق أهداف الأداء</t>
        </is>
      </c>
    </row>
    <row r="12" ht="26" customHeight="1">
      <c r="A12" s="5" t="inlineStr">
        <is>
          <t>M7</t>
        </is>
      </c>
      <c r="B12" s="6" t="inlineStr">
        <is>
          <t>الصلاحيات والاختبار بثلاثة أدوار</t>
        </is>
      </c>
      <c r="C12" s="19" t="n">
        <v>2</v>
      </c>
      <c r="D12" s="19" t="n">
        <v>1</v>
      </c>
      <c r="E12" s="19">
        <f>C12+D12</f>
        <v/>
      </c>
      <c r="F12" s="6" t="inlineStr">
        <is>
          <t>معيار AT5</t>
        </is>
      </c>
    </row>
    <row r="13" ht="26" customHeight="1">
      <c r="A13" s="5" t="inlineStr">
        <is>
          <t>M8</t>
        </is>
      </c>
      <c r="B13" s="6" t="inlineStr">
        <is>
          <t>اختبار القبول (UAT)</t>
        </is>
      </c>
      <c r="C13" s="19" t="n">
        <v>3</v>
      </c>
      <c r="D13" s="19" t="n">
        <v>5</v>
      </c>
      <c r="E13" s="19">
        <f>C13+D13</f>
        <v/>
      </c>
      <c r="F13" s="6" t="inlineStr">
        <is>
          <t>توقيع قبول من المالية</t>
        </is>
      </c>
    </row>
    <row r="14" ht="26" customHeight="1">
      <c r="A14" s="5" t="inlineStr">
        <is>
          <t>M9</t>
        </is>
      </c>
      <c r="B14" s="6" t="inlineStr">
        <is>
          <t>التدريب والوثائق</t>
        </is>
      </c>
      <c r="C14" s="19" t="n">
        <v>2</v>
      </c>
      <c r="D14" s="19" t="n">
        <v>2</v>
      </c>
      <c r="E14" s="19">
        <f>C14+D14</f>
        <v/>
      </c>
      <c r="F14" s="6" t="inlineStr">
        <is>
          <t>تسليم الأدلة</t>
        </is>
      </c>
    </row>
    <row r="15" ht="26" customHeight="1">
      <c r="A15" s="5" t="inlineStr">
        <is>
          <t>M10</t>
        </is>
      </c>
      <c r="B15" s="6" t="inlineStr">
        <is>
          <t>النشر والدعم المكثّف</t>
        </is>
      </c>
      <c r="C15" s="19" t="n">
        <v>4</v>
      </c>
      <c r="D15" s="19" t="n">
        <v>2</v>
      </c>
      <c r="E15" s="19">
        <f>C15+D15</f>
        <v/>
      </c>
      <c r="F15" s="6" t="inlineStr">
        <is>
          <t>استقرار بلا أعطال حرجة</t>
        </is>
      </c>
    </row>
    <row r="16">
      <c r="A16" s="20" t="inlineStr">
        <is>
          <t>الإجمالي</t>
        </is>
      </c>
      <c r="B16" s="20" t="inlineStr">
        <is>
          <t>أيام العمل الكلية</t>
        </is>
      </c>
      <c r="C16" s="21">
        <f>SUM(C5:C15)</f>
        <v/>
      </c>
      <c r="D16" s="21">
        <f>SUM(D5:D15)</f>
        <v/>
      </c>
      <c r="E16" s="21">
        <f>SUM(E5:E15)</f>
        <v/>
      </c>
      <c r="F16" s="22" t="inlineStr">
        <is>
          <t>المدة ٧–٨ أسابيع</t>
        </is>
      </c>
    </row>
    <row r="18">
      <c r="A18" s="9" t="inlineStr">
        <is>
          <t>التسعير</t>
        </is>
      </c>
    </row>
    <row r="19" ht="30" customHeight="1">
      <c r="A19" s="4" t="inlineStr">
        <is>
          <t>البند</t>
        </is>
      </c>
      <c r="B19" s="4" t="inlineStr">
        <is>
          <t>القيمة</t>
        </is>
      </c>
      <c r="C19" s="4" t="inlineStr">
        <is>
          <t>الوحدة</t>
        </is>
      </c>
      <c r="D19" s="4" t="inlineStr">
        <is>
          <t>ملاحظات</t>
        </is>
      </c>
      <c r="E19" s="4" t="inlineStr"/>
      <c r="F19" s="4" t="inlineStr"/>
    </row>
    <row r="20">
      <c r="A20" s="15" t="inlineStr">
        <is>
          <t>سعر يوم العمل</t>
        </is>
      </c>
      <c r="B20" s="23" t="n"/>
      <c r="C20" s="16" t="inlineStr">
        <is>
          <t>عملة / يوم</t>
        </is>
      </c>
      <c r="D20" s="18" t="inlineStr">
        <is>
          <t>حقل إلزامي قبل عرض الطلب على الموازنة</t>
        </is>
      </c>
    </row>
    <row r="21">
      <c r="A21" s="15" t="inlineStr">
        <is>
          <t>أيام المنفّذ</t>
        </is>
      </c>
      <c r="B21" s="19">
        <f>C16</f>
        <v/>
      </c>
      <c r="C21" s="16" t="inlineStr">
        <is>
          <t>يوم</t>
        </is>
      </c>
      <c r="D21" s="18" t="inlineStr">
        <is>
          <t>منقول آلياً من جدول المراحل</t>
        </is>
      </c>
    </row>
    <row r="22">
      <c r="A22" s="20" t="inlineStr">
        <is>
          <t>التكلفة التقديرية</t>
        </is>
      </c>
      <c r="B22" s="24">
        <f>IF(B20="","",B20*B21)</f>
        <v/>
      </c>
      <c r="C22" s="16" t="inlineStr">
        <is>
          <t>عملة</t>
        </is>
      </c>
      <c r="D22" s="18" t="inlineStr">
        <is>
          <t>تُحتسب آلياً بعد إدخال سعر اليوم</t>
        </is>
      </c>
    </row>
    <row r="24" ht="44" customHeight="1">
      <c r="A24" s="25" t="inlineStr">
        <is>
          <t>أساس التقدير: التصميم التفصيلي ونصوص SQL المرجعية الجاهزة، وهي تختصر مرحلة التحليل والبناء الأولي. التقدير أوّلي ويُعاد تثبيته بعد نتيجة المرحلة M0 — اختلاف السكيما أو تعدد طرق تسجيل المديونية تاريخياً قد يضيف ٣ إلى ٧ أيام على M0/M2. لا تكاليف تراخيص إضافية: يستخدم الحل خدمة التقارير القائمة.</t>
        </is>
      </c>
    </row>
  </sheetData>
  <mergeCells count="3">
    <mergeCell ref="A24:F24"/>
    <mergeCell ref="A2:F2"/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6" customWidth="1" min="3" max="3"/>
    <col width="18" customWidth="1" min="4" max="4"/>
  </cols>
  <sheetData>
    <row r="1" ht="26" customHeight="1">
      <c r="A1" s="1" t="inlineStr">
        <is>
          <t>البدائل المدروسة</t>
        </is>
      </c>
    </row>
    <row r="2" ht="16" customHeight="1">
      <c r="A2" s="2" t="inlineStr">
        <is>
          <t>الخيارات التي قُيّمت قبل الوصول إلى هذا الطلب</t>
        </is>
      </c>
    </row>
    <row r="4" ht="30" customHeight="1">
      <c r="A4" s="4" t="inlineStr">
        <is>
          <t>#</t>
        </is>
      </c>
      <c r="B4" s="4" t="inlineStr">
        <is>
          <t>البديل</t>
        </is>
      </c>
      <c r="C4" s="4" t="inlineStr">
        <is>
          <t>التقييم</t>
        </is>
      </c>
      <c r="D4" s="4" t="inlineStr">
        <is>
          <t>القرار</t>
        </is>
      </c>
    </row>
    <row r="5" ht="40" customHeight="1">
      <c r="A5" s="5" t="inlineStr">
        <is>
          <t>A1</t>
        </is>
      </c>
      <c r="B5" s="5" t="inlineStr">
        <is>
          <t>الاستمرار بالوضع الحالي (Excel يدوي)</t>
        </is>
      </c>
      <c r="C5" s="6" t="inlineStr">
        <is>
          <t>لا تكلفة تطوير، لكنه يُبقي كل المخاطر وملاحظة التدقيق قائمة</t>
        </is>
      </c>
      <c r="D5" s="26" t="inlineStr">
        <is>
          <t>مرفوض</t>
        </is>
      </c>
    </row>
    <row r="6" ht="40" customHeight="1">
      <c r="A6" s="5" t="inlineStr">
        <is>
          <t>A2</t>
        </is>
      </c>
      <c r="B6" s="5" t="inlineStr">
        <is>
          <t>الاكتفاء بتقارير Voyager القياسية</t>
        </is>
      </c>
      <c r="C6" s="6" t="inlineStr">
        <is>
          <t>لا تعرض المديونية على مستوى الموظف ولا تُنتج نموذج مصادقة</t>
        </is>
      </c>
      <c r="D6" s="27" t="inlineStr">
        <is>
          <t>غير كافٍ</t>
        </is>
      </c>
    </row>
    <row r="7" ht="40" customHeight="1">
      <c r="A7" s="5" t="inlineStr">
        <is>
          <t>A3</t>
        </is>
      </c>
      <c r="B7" s="5" t="inlineStr">
        <is>
          <t>أداة تحليل خارجية (BI) تقرأ من قاعدة Voyager</t>
        </is>
      </c>
      <c r="C7" s="6" t="inlineStr">
        <is>
          <t>تُنتج تحليلاً لا مستنداً رسمياً؛ تُخرج بيانات حساسة خارج النظام وتُضعف الصلاحيات؛ تحتاج ترخيصاً وبنية إضافية</t>
        </is>
      </c>
      <c r="D7" s="26" t="inlineStr">
        <is>
          <t>مرفوض</t>
        </is>
      </c>
    </row>
    <row r="8" ht="40" customHeight="1">
      <c r="A8" s="5" t="inlineStr">
        <is>
          <t>A4</t>
        </is>
      </c>
      <c r="B8" s="5" t="inlineStr">
        <is>
          <t>حزمة تقارير مخصّصة داخل Voyager (هذا الطلب)</t>
        </is>
      </c>
      <c r="C8" s="6" t="inlineStr">
        <is>
          <t>البيانات والصلاحيات تبقى داخل النظام، ومخرجات رسمية قابلة للتوقيع، وتوافق مع الترقيات</t>
        </is>
      </c>
      <c r="D8" s="28" t="inlineStr">
        <is>
          <t>موصى به</t>
        </is>
      </c>
    </row>
    <row r="9" ht="40" customHeight="1">
      <c r="A9" s="5" t="inlineStr">
        <is>
          <t>A5</t>
        </is>
      </c>
      <c r="B9" s="5" t="inlineStr">
        <is>
          <t>تنفيذ على مراحل — R1 أولاً ثم R2/R3</t>
        </is>
      </c>
      <c r="C9" s="6" t="inlineStr">
        <is>
          <t>يقلّل الدفعة الأولى، لكن R3 هو المحرّك الزمني وR1 وحده لا يحل ملاحظة التدقيق</t>
        </is>
      </c>
      <c r="D9" s="29" t="inlineStr">
        <is>
          <t>عند ضغط الموازنة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60" customWidth="1" min="3" max="3"/>
  </cols>
  <sheetData>
    <row r="1" ht="26" customHeight="1">
      <c r="A1" s="1" t="inlineStr">
        <is>
          <t>تقييم الأثر على النظام والعمليات</t>
        </is>
      </c>
    </row>
    <row r="2" ht="16" customHeight="1">
      <c r="A2" s="2" t="inlineStr">
        <is>
          <t>ما الذي يتغيّر في البيئة القائمة نتيجة هذا التطوير</t>
        </is>
      </c>
    </row>
    <row r="4" ht="30" customHeight="1">
      <c r="A4" s="4" t="inlineStr">
        <is>
          <t>البُعد</t>
        </is>
      </c>
      <c r="B4" s="4" t="inlineStr">
        <is>
          <t>التقييم</t>
        </is>
      </c>
      <c r="C4" s="4" t="inlineStr">
        <is>
          <t>التفصيل</t>
        </is>
      </c>
    </row>
    <row r="5" ht="30" customHeight="1">
      <c r="A5" s="5" t="inlineStr">
        <is>
          <t>أثر على البيانات</t>
        </is>
      </c>
      <c r="B5" s="28" t="inlineStr">
        <is>
          <t>لا يوجد</t>
        </is>
      </c>
      <c r="C5" s="6" t="inlineStr">
        <is>
          <t>قراءة فقط؛ الكتابة محصورة في جداول مخصّصة (سجلات ولقطات)</t>
        </is>
      </c>
    </row>
    <row r="6" ht="30" customHeight="1">
      <c r="A6" s="5" t="inlineStr">
        <is>
          <t>أثر على العمليات القائمة</t>
        </is>
      </c>
      <c r="B6" s="28" t="inlineStr">
        <is>
          <t>لا يوجد</t>
        </is>
      </c>
      <c r="C6" s="6" t="inlineStr">
        <is>
          <t>لا تعديل على شاشات أو تقارير قياسية</t>
        </is>
      </c>
    </row>
    <row r="7" ht="30" customHeight="1">
      <c r="A7" s="5" t="inlineStr">
        <is>
          <t>أثر على الأداء التشغيلي</t>
        </is>
      </c>
      <c r="B7" s="28" t="inlineStr">
        <is>
          <t>منخفض ومُدار</t>
        </is>
      </c>
      <c r="C7" s="6" t="inlineStr">
        <is>
          <t>جدول تجميع ليلي + تشغيل الدفعات خارج الذروة + حد أقصى للصفوف</t>
        </is>
      </c>
    </row>
    <row r="8" ht="30" customHeight="1">
      <c r="A8" s="5" t="inlineStr">
        <is>
          <t>أثر على الترقيات</t>
        </is>
      </c>
      <c r="B8" s="28" t="inlineStr">
        <is>
          <t>لا يوجد</t>
        </is>
      </c>
      <c r="C8" s="6" t="inlineStr">
        <is>
          <t>لا تعديل على كائنات قياسية؛ يلزم إعادة اختبار طبقة العزل بعد كل ترقية</t>
        </is>
      </c>
    </row>
    <row r="9" ht="30" customHeight="1">
      <c r="A9" s="5" t="inlineStr">
        <is>
          <t>أثر على المستخدمين</t>
        </is>
      </c>
      <c r="B9" s="28" t="inlineStr">
        <is>
          <t>إيجابي</t>
        </is>
      </c>
      <c r="C9" s="6" t="inlineStr">
        <is>
          <t>إلغاء عمل يدوي؛ يحتاج جلسة تدريب واحدة</t>
        </is>
      </c>
    </row>
    <row r="10" ht="30" customHeight="1">
      <c r="A10" s="5" t="inlineStr">
        <is>
          <t>أثر أمني</t>
        </is>
      </c>
      <c r="B10" s="27" t="inlineStr">
        <is>
          <t>يتطلب ضبطاً</t>
        </is>
      </c>
      <c r="C10" s="6" t="inlineStr">
        <is>
          <t>بيانات حساسة — ست طبقات صلاحيات وسجل تشغيل للتدقيق</t>
        </is>
      </c>
    </row>
    <row r="11" ht="30" customHeight="1">
      <c r="A11" s="5" t="inlineStr">
        <is>
          <t>أسوأ سيناريو للفشل</t>
        </is>
      </c>
      <c r="B11" s="28" t="inlineStr">
        <is>
          <t>تعطّل التقارير</t>
        </is>
      </c>
      <c r="C11" s="6" t="inlineStr">
        <is>
          <t>لا فقدان أو إفساد بيانات — خاصية تصميمية مقصودة</t>
        </is>
      </c>
    </row>
    <row r="12" ht="30" customHeight="1">
      <c r="A12" s="5" t="inlineStr">
        <is>
          <t>زمن التراجع</t>
        </is>
      </c>
      <c r="B12" s="28" t="inlineStr">
        <is>
          <t>≤ ١٥ دقيقة</t>
        </is>
      </c>
      <c r="C12" s="6" t="inlineStr">
        <is>
          <t>لتقرير أو إجراء واحد · ≤ ساعة لإلغاء الحل بالكامل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4" customWidth="1" min="3" max="3"/>
    <col width="14" customWidth="1" min="4" max="4"/>
    <col width="52" customWidth="1" min="5" max="5"/>
  </cols>
  <sheetData>
    <row r="1" ht="26" customHeight="1">
      <c r="A1" s="1" t="inlineStr">
        <is>
          <t>سجل المخاطر</t>
        </is>
      </c>
    </row>
    <row r="2" ht="16" customHeight="1">
      <c r="A2" s="2" t="inlineStr">
        <is>
          <t>المخاطر المعروفة ومعالجتها المدمجة في التصميم</t>
        </is>
      </c>
    </row>
    <row r="4" ht="30" customHeight="1">
      <c r="A4" s="4" t="inlineStr">
        <is>
          <t>#</t>
        </is>
      </c>
      <c r="B4" s="4" t="inlineStr">
        <is>
          <t>المخاطرة</t>
        </is>
      </c>
      <c r="C4" s="4" t="inlineStr">
        <is>
          <t>الاحتمال</t>
        </is>
      </c>
      <c r="D4" s="4" t="inlineStr">
        <is>
          <t>الأثر</t>
        </is>
      </c>
      <c r="E4" s="4" t="inlineStr">
        <is>
          <t>المعالجة</t>
        </is>
      </c>
    </row>
    <row r="5" ht="32" customHeight="1">
      <c r="A5" s="5" t="inlineStr">
        <is>
          <t>RK1</t>
        </is>
      </c>
      <c r="B5" s="6" t="inlineStr">
        <is>
          <t>اختلاف سكيما Yardi عن المتوقع</t>
        </is>
      </c>
      <c r="C5" s="27" t="inlineStr">
        <is>
          <t>متوسط</t>
        </is>
      </c>
      <c r="D5" s="26" t="inlineStr">
        <is>
          <t>عالٍ</t>
        </is>
      </c>
      <c r="E5" s="6" t="inlineStr">
        <is>
          <t>بوابة M0 قبل أي بناء + حصر كل ما يلمس Yardi في طبقة عزل واحدة</t>
        </is>
      </c>
    </row>
    <row r="6" ht="32" customHeight="1">
      <c r="A6" s="5" t="inlineStr">
        <is>
          <t>RK2</t>
        </is>
      </c>
      <c r="B6" s="6" t="inlineStr">
        <is>
          <t>تعدد طرق تسجيل المديونية تاريخياً</t>
        </is>
      </c>
      <c r="C6" s="26" t="inlineStr">
        <is>
          <t>مرتفع</t>
        </is>
      </c>
      <c r="D6" s="27" t="inlineStr">
        <is>
          <t>متوسط</t>
        </is>
      </c>
      <c r="E6" s="6" t="inlineStr">
        <is>
          <t>أربعة مصادر لتعريف الموظف + خريطة يدوية + تقرير الحركات غير المنسوبة</t>
        </is>
      </c>
    </row>
    <row r="7" ht="32" customHeight="1">
      <c r="A7" s="5" t="inlineStr">
        <is>
          <t>RK3</t>
        </is>
      </c>
      <c r="B7" s="6" t="inlineStr">
        <is>
          <t>تأخر اعتماد نص الإقرار قانونياً</t>
        </is>
      </c>
      <c r="C7" s="27" t="inlineStr">
        <is>
          <t>متوسط</t>
        </is>
      </c>
      <c r="D7" s="27" t="inlineStr">
        <is>
          <t>متوسط</t>
        </is>
      </c>
      <c r="E7" s="6" t="inlineStr">
        <is>
          <t>بدء المسار القانوني مع اعتماد الطلب لا بعده (البند PR4)</t>
        </is>
      </c>
    </row>
    <row r="8" ht="32" customHeight="1">
      <c r="A8" s="5" t="inlineStr">
        <is>
          <t>RK4</t>
        </is>
      </c>
      <c r="B8" s="6" t="inlineStr">
        <is>
          <t>حجم بيانات الأستاذ العام يؤثر على الأداء</t>
        </is>
      </c>
      <c r="C8" s="27" t="inlineStr">
        <is>
          <t>متوسط</t>
        </is>
      </c>
      <c r="D8" s="27" t="inlineStr">
        <is>
          <t>متوسط</t>
        </is>
      </c>
      <c r="E8" s="6" t="inlineStr">
        <is>
          <t>جدول تجميع ليلي + قياس مستمر عبر سجل التشغيل</t>
        </is>
      </c>
    </row>
    <row r="9" ht="32" customHeight="1">
      <c r="A9" s="5" t="inlineStr">
        <is>
          <t>RK5</t>
        </is>
      </c>
      <c r="B9" s="6" t="inlineStr">
        <is>
          <t>صعوبة تحديد نطاق أمان المستخدمين</t>
        </is>
      </c>
      <c r="C9" s="27" t="inlineStr">
        <is>
          <t>متوسط</t>
        </is>
      </c>
      <c r="D9" s="26" t="inlineStr">
        <is>
          <t>عالٍ</t>
        </is>
      </c>
      <c r="E9" s="6" t="inlineStr">
        <is>
          <t>تسليم مغلق افتراضياً (fail-closed) + فحص إعداد يمنع الإطلاق قبل التنفيذ</t>
        </is>
      </c>
    </row>
    <row r="10" ht="32" customHeight="1">
      <c r="A10" s="5" t="inlineStr">
        <is>
          <t>RK6</t>
        </is>
      </c>
      <c r="B10" s="6" t="inlineStr">
        <is>
          <t>قيود بأثر رجعي بعد إصدار المصادقات</t>
        </is>
      </c>
      <c r="C10" s="26" t="inlineStr">
        <is>
          <t>مرتفع</t>
        </is>
      </c>
      <c r="D10" s="27" t="inlineStr">
        <is>
          <t>متوسط</t>
        </is>
      </c>
      <c r="E10" s="6" t="inlineStr">
        <is>
          <t>لقطة مجمّدة ببصمة تحقق + تقرير فروقات يُعرض قبل التدقيق</t>
        </is>
      </c>
    </row>
    <row r="11" ht="32" customHeight="1">
      <c r="A11" s="5" t="inlineStr">
        <is>
          <t>RK7</t>
        </is>
      </c>
      <c r="B11" s="6" t="inlineStr">
        <is>
          <t>عدم تفرّغ مرجع المالية</t>
        </is>
      </c>
      <c r="C11" s="27" t="inlineStr">
        <is>
          <t>متوسط</t>
        </is>
      </c>
      <c r="D11" s="26" t="inlineStr">
        <is>
          <t>عالٍ</t>
        </is>
      </c>
      <c r="E11" s="6" t="inlineStr">
        <is>
          <t>تثبيت البند PR8 كشرط مسبق لاعتماد الطلب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6" customWidth="1" min="2" max="2"/>
    <col width="34" customWidth="1" min="3" max="3"/>
    <col width="16" customWidth="1" min="4" max="4"/>
    <col width="18" customWidth="1" min="5" max="5"/>
  </cols>
  <sheetData>
    <row r="1" ht="26" customHeight="1">
      <c r="A1" s="1" t="inlineStr">
        <is>
          <t>معايير القبول وإغلاق الطلب</t>
        </is>
      </c>
    </row>
    <row r="2" ht="16" customHeight="1">
      <c r="A2" s="2" t="inlineStr">
        <is>
          <t>لا يُغلق الطلب قبل اجتياز كل معيار وتوثيق نتيجته</t>
        </is>
      </c>
    </row>
    <row r="4" ht="30" customHeight="1">
      <c r="A4" s="4" t="inlineStr">
        <is>
          <t>#</t>
        </is>
      </c>
      <c r="B4" s="4" t="inlineStr">
        <is>
          <t>المعيار</t>
        </is>
      </c>
      <c r="C4" s="4" t="inlineStr">
        <is>
          <t>طريقة الإثبات</t>
        </is>
      </c>
      <c r="D4" s="4" t="inlineStr">
        <is>
          <t>النتيجة</t>
        </is>
      </c>
      <c r="E4" s="4" t="inlineStr">
        <is>
          <t>تاريخ الاختبار</t>
        </is>
      </c>
    </row>
    <row r="5" ht="28" customHeight="1">
      <c r="A5" s="5" t="inlineStr">
        <is>
          <t>AT1</t>
        </is>
      </c>
      <c r="B5" s="6" t="inlineStr">
        <is>
          <t>مجموع تقرير الملخص = رصيد حسابات النطاق في ميزان المراجعة (الفرق = 0.00)</t>
        </is>
      </c>
      <c r="C5" s="6" t="inlineStr">
        <is>
          <t>تشغيل مقارن لثلاثة تواريخ</t>
        </is>
      </c>
      <c r="D5" s="13" t="inlineStr">
        <is>
          <t>لم يُختبر</t>
        </is>
      </c>
      <c r="E5" s="14" t="n"/>
    </row>
    <row r="6" ht="28" customHeight="1">
      <c r="A6" s="5" t="inlineStr">
        <is>
          <t>AT2</t>
        </is>
      </c>
      <c r="B6" s="6" t="inlineStr">
        <is>
          <t>الرصيد الختامي في كشف الحساب = رصيد الموظف في الملخص</t>
        </is>
      </c>
      <c r="C6" s="6" t="inlineStr">
        <is>
          <t>عيّنة ٢٠ موظفاً</t>
        </is>
      </c>
      <c r="D6" s="13" t="inlineStr">
        <is>
          <t>لم يُختبر</t>
        </is>
      </c>
      <c r="E6" s="14" t="n"/>
    </row>
    <row r="7" ht="28" customHeight="1">
      <c r="A7" s="5" t="inlineStr">
        <is>
          <t>AT3</t>
        </is>
      </c>
      <c r="B7" s="6" t="inlineStr">
        <is>
          <t>مجموع شرائح الأعمار = الرصيد الإجمالي للموظف</t>
        </is>
      </c>
      <c r="C7" s="6" t="inlineStr">
        <is>
          <t>فحص حسابي لكل صف</t>
        </is>
      </c>
      <c r="D7" s="13" t="inlineStr">
        <is>
          <t>لم يُختبر</t>
        </is>
      </c>
      <c r="E7" s="14" t="n"/>
    </row>
    <row r="8" ht="28" customHeight="1">
      <c r="A8" s="5" t="inlineStr">
        <is>
          <t>AT4</t>
        </is>
      </c>
      <c r="B8" s="6" t="inlineStr">
        <is>
          <t>الدرل داون يفتح المستند الصحيح في Voyager</t>
        </is>
      </c>
      <c r="C8" s="6" t="inlineStr">
        <is>
          <t>١٠ مستندات من أنواع مختلفة</t>
        </is>
      </c>
      <c r="D8" s="13" t="inlineStr">
        <is>
          <t>لم يُختبر</t>
        </is>
      </c>
      <c r="E8" s="14" t="n"/>
    </row>
    <row r="9" ht="28" customHeight="1">
      <c r="A9" s="5" t="inlineStr">
        <is>
          <t>AT5</t>
        </is>
      </c>
      <c r="B9" s="6" t="inlineStr">
        <is>
          <t>لا يعرض التقرير أي كيان خارج صلاحية المستخدم</t>
        </is>
      </c>
      <c r="C9" s="6" t="inlineStr">
        <is>
          <t>اختبار بثلاثة أدوار مختلفة</t>
        </is>
      </c>
      <c r="D9" s="13" t="inlineStr">
        <is>
          <t>لم يُختبر</t>
        </is>
      </c>
      <c r="E9" s="14" t="n"/>
    </row>
    <row r="10" ht="28" customHeight="1">
      <c r="A10" s="5" t="inlineStr">
        <is>
          <t>AT6</t>
        </is>
      </c>
      <c r="B10" s="6" t="inlineStr">
        <is>
          <t>تصدير Excel قابل للفرز مباشرة والأرقام رقمية</t>
        </is>
      </c>
      <c r="C10" s="6" t="inlineStr">
        <is>
          <t>فحص يدوي</t>
        </is>
      </c>
      <c r="D10" s="13" t="inlineStr">
        <is>
          <t>لم يُختبر</t>
        </is>
      </c>
      <c r="E10" s="14" t="n"/>
    </row>
    <row r="11" ht="28" customHeight="1">
      <c r="A11" s="5" t="inlineStr">
        <is>
          <t>AT7</t>
        </is>
      </c>
      <c r="B11" s="6" t="inlineStr">
        <is>
          <t>نموذج الاعتماد صفحة واحدة لكل موظف بكل خانات التوقيع</t>
        </is>
      </c>
      <c r="C11" s="6" t="inlineStr">
        <is>
          <t>عيّنة ٥٠ نموذجاً</t>
        </is>
      </c>
      <c r="D11" s="13" t="inlineStr">
        <is>
          <t>لم يُختبر</t>
        </is>
      </c>
      <c r="E11" s="14" t="n"/>
    </row>
    <row r="12" ht="28" customHeight="1">
      <c r="A12" s="5" t="inlineStr">
        <is>
          <t>AT8</t>
        </is>
      </c>
      <c r="B12" s="6" t="inlineStr">
        <is>
          <t>إعادة تشغيل النموذج لنفس التاريخ تعطي نفس الأرصدة</t>
        </is>
      </c>
      <c r="C12" s="6" t="inlineStr">
        <is>
          <t>مقارنة قبل/بعد قيد بأثر رجعي</t>
        </is>
      </c>
      <c r="D12" s="13" t="inlineStr">
        <is>
          <t>لم يُختبر</t>
        </is>
      </c>
      <c r="E12" s="14" t="n"/>
    </row>
    <row r="13" ht="28" customHeight="1">
      <c r="A13" s="5" t="inlineStr">
        <is>
          <t>AT9</t>
        </is>
      </c>
      <c r="B13" s="6" t="inlineStr">
        <is>
          <t>تحقق أهداف الأداء المعتمدة على بيانات الإنتاج</t>
        </is>
      </c>
      <c r="C13" s="6" t="inlineStr">
        <is>
          <t>قياس موثّق في اختبار القبول</t>
        </is>
      </c>
      <c r="D13" s="13" t="inlineStr">
        <is>
          <t>لم يُختبر</t>
        </is>
      </c>
      <c r="E13" s="14" t="n"/>
    </row>
    <row r="14" ht="28" customHeight="1">
      <c r="A14" s="5" t="inlineStr">
        <is>
          <t>AT10</t>
        </is>
      </c>
      <c r="B14" s="6" t="inlineStr">
        <is>
          <t>تقرير الحركات غير المنسوبة فارغ عند الإطلاق</t>
        </is>
      </c>
      <c r="C14" s="6" t="inlineStr">
        <is>
          <t>تشغيل تقرير الاستثناءات</t>
        </is>
      </c>
      <c r="D14" s="13" t="inlineStr">
        <is>
          <t>لم يُختبر</t>
        </is>
      </c>
      <c r="E14" s="14" t="n"/>
    </row>
    <row r="16">
      <c r="A16" s="15" t="inlineStr">
        <is>
          <t>معايير ناجحة</t>
        </is>
      </c>
      <c r="B16" s="30">
        <f>COUNTIF(D5:D14,"ناجح")&amp;" من "&amp;COUNTA(A5:A14)</f>
        <v/>
      </c>
      <c r="C16" s="18" t="inlineStr">
        <is>
          <t>يُغلق الطلب عند اجتياز كل المعايير ثم مراجعة ما بعد التنفيذ خلال ٣٠ يوماً</t>
        </is>
      </c>
    </row>
  </sheetData>
  <mergeCells count="2">
    <mergeCell ref="A2:E2"/>
    <mergeCell ref="A1:E1"/>
  </mergeCells>
  <dataValidations count="1">
    <dataValidation sqref="D5:D14" showDropDown="0" showInputMessage="0" showErrorMessage="0" allowBlank="1" type="list">
      <formula1>"لم يُختبر,ناجح,راسب,معلّق"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8" customWidth="1" min="3" max="3"/>
    <col width="18" customWidth="1" min="4" max="4"/>
    <col width="22" customWidth="1" min="5" max="5"/>
    <col width="26" customWidth="1" min="6" max="6"/>
  </cols>
  <sheetData>
    <row r="1" ht="26" customHeight="1">
      <c r="A1" s="1" t="inlineStr">
        <is>
          <t>الاعتمادات والتوقيعات</t>
        </is>
      </c>
    </row>
    <row r="2" ht="16" customHeight="1">
      <c r="A2" s="2" t="inlineStr">
        <is>
          <t>العدّ الزمني للتنفيذ يبدأ من اكتمال المتطلبات المسبقة، لا من تاريخ الاعتماد</t>
        </is>
      </c>
    </row>
    <row r="4" ht="30" customHeight="1">
      <c r="A4" s="4" t="inlineStr">
        <is>
          <t>الدور</t>
        </is>
      </c>
      <c r="B4" s="4" t="inlineStr">
        <is>
          <t>الاسم</t>
        </is>
      </c>
      <c r="C4" s="4" t="inlineStr">
        <is>
          <t>القرار</t>
        </is>
      </c>
      <c r="D4" s="4" t="inlineStr">
        <is>
          <t>التاريخ</t>
        </is>
      </c>
      <c r="E4" s="4" t="inlineStr">
        <is>
          <t>التوقيع</t>
        </is>
      </c>
      <c r="F4" s="4" t="inlineStr">
        <is>
          <t>ملاحظات</t>
        </is>
      </c>
    </row>
    <row r="5" ht="32" customHeight="1">
      <c r="A5" s="5" t="inlineStr">
        <is>
          <t>مقدّم الطلب — قسم المالية</t>
        </is>
      </c>
      <c r="B5" s="7" t="n"/>
      <c r="C5" s="13" t="inlineStr">
        <is>
          <t>بانتظار</t>
        </is>
      </c>
      <c r="D5" s="14" t="n"/>
      <c r="E5" s="7" t="n"/>
      <c r="F5" s="6" t="inlineStr">
        <is>
          <t>رفع الطلب</t>
        </is>
      </c>
    </row>
    <row r="6" ht="32" customHeight="1">
      <c r="A6" s="5" t="inlineStr">
        <is>
          <t>المالك الوظيفي — المدير المالي</t>
        </is>
      </c>
      <c r="B6" s="7" t="n"/>
      <c r="C6" s="13" t="inlineStr">
        <is>
          <t>بانتظار</t>
        </is>
      </c>
      <c r="D6" s="14" t="n"/>
      <c r="E6" s="7" t="n"/>
      <c r="F6" s="6" t="inlineStr">
        <is>
          <t>اعتماد / رفض / تعديل</t>
        </is>
      </c>
    </row>
    <row r="7" ht="32" customHeight="1">
      <c r="A7" s="5" t="inlineStr">
        <is>
          <t>مدير تطبيقات Yardi</t>
        </is>
      </c>
      <c r="B7" s="7" t="n"/>
      <c r="C7" s="13" t="inlineStr">
        <is>
          <t>بانتظار</t>
        </is>
      </c>
      <c r="D7" s="14" t="n"/>
      <c r="E7" s="7" t="n"/>
      <c r="F7" s="6" t="inlineStr">
        <is>
          <t>اعتماد فني</t>
        </is>
      </c>
    </row>
    <row r="8" ht="32" customHeight="1">
      <c r="A8" s="5" t="inlineStr">
        <is>
          <t>مسؤول أمن المعلومات</t>
        </is>
      </c>
      <c r="B8" s="7" t="n"/>
      <c r="C8" s="13" t="inlineStr">
        <is>
          <t>بانتظار</t>
        </is>
      </c>
      <c r="D8" s="14" t="n"/>
      <c r="E8" s="7" t="n"/>
      <c r="F8" s="6" t="inlineStr">
        <is>
          <t>اعتماد — بيانات حساسة</t>
        </is>
      </c>
    </row>
    <row r="9" ht="32" customHeight="1">
      <c r="A9" s="5" t="inlineStr">
        <is>
          <t>الإدارة القانونية</t>
        </is>
      </c>
      <c r="B9" s="7" t="n"/>
      <c r="C9" s="13" t="inlineStr">
        <is>
          <t>بانتظار</t>
        </is>
      </c>
      <c r="D9" s="14" t="n"/>
      <c r="E9" s="7" t="n"/>
      <c r="F9" s="6" t="inlineStr">
        <is>
          <t>اعتماد نص الإقرار</t>
        </is>
      </c>
    </row>
    <row r="10" ht="32" customHeight="1">
      <c r="A10" s="5" t="inlineStr">
        <is>
          <t>لجنة التغيير (CAB)</t>
        </is>
      </c>
      <c r="B10" s="7" t="n"/>
      <c r="C10" s="13" t="inlineStr">
        <is>
          <t>بانتظار</t>
        </is>
      </c>
      <c r="D10" s="14" t="n"/>
      <c r="E10" s="7" t="n"/>
      <c r="F10" s="6" t="inlineStr">
        <is>
          <t>اعتماد الجدولة</t>
        </is>
      </c>
    </row>
    <row r="11" ht="32" customHeight="1">
      <c r="A11" s="5" t="inlineStr">
        <is>
          <t>اعتماد الموازنة</t>
        </is>
      </c>
      <c r="B11" s="7" t="n"/>
      <c r="C11" s="13" t="inlineStr">
        <is>
          <t>بانتظار</t>
        </is>
      </c>
      <c r="D11" s="14" t="n"/>
      <c r="E11" s="7" t="n"/>
      <c r="F11" s="6" t="inlineStr">
        <is>
          <t>اعتماد التكلفة</t>
        </is>
      </c>
    </row>
    <row r="13">
      <c r="A13" s="15" t="inlineStr">
        <is>
          <t>عدد الاعتمادات المكتملة</t>
        </is>
      </c>
      <c r="B13" s="30">
        <f>COUNTIF(C5:C11,"معتمد")&amp;" من "&amp;COUNTA(A5:A11)</f>
        <v/>
      </c>
    </row>
    <row r="15" ht="30" customHeight="1">
      <c r="A15" s="25" t="inlineStr">
        <is>
          <t>المرفقات الفنية: وثيقة التصميم الوظيفي · وثيقة التصميم التقني · منطق البيانات وجداول Yardi المعنية · النماذج الأولية ونص الإقرار · الأداء والصلاحيات وخطة النشر · نصوص SQL المرجعية (٧ ملفات).</t>
        </is>
      </c>
    </row>
    <row r="16" ht="26" customHeight="1">
      <c r="A16" s="25" t="inlineStr">
        <is>
          <t>مراجعة ما بعد التنفيذ (PIR): بعد ٣٠ يوماً من الإطلاق — قياس تحقق الأهداف G1–G5 ومراجعة سجل التشغيل والأداء الفعلي، ثم إغلاق الطلب رسمياً.</t>
        </is>
      </c>
    </row>
  </sheetData>
  <mergeCells count="4">
    <mergeCell ref="A2:F2"/>
    <mergeCell ref="A16:F16"/>
    <mergeCell ref="A1:F1"/>
    <mergeCell ref="A15:F15"/>
  </mergeCells>
  <dataValidations count="1">
    <dataValidation sqref="C5:C11" showDropDown="0" showInputMessage="0" showErrorMessage="0" allowBlank="1" type="list">
      <formula1>"بانتظار,معتمد,مرفوض,تعديل مطلوب"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2026-08-25T07:12:10Z</dcterms:created>
  <dcterms:modified xsi:type="dcterms:W3CDTF">2026-08-25T07:12:10Z</dcterms:modified>
</cp:coreProperties>
</file>